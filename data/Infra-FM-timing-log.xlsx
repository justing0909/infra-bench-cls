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</sheets>
  <calcPr fullCalcOnLoad="1"/>
</workbook>
</file>

<file path=xl/sharedStrings.xml><?xml version="1.0" encoding="utf-8"?>
<sst xmlns="http://schemas.openxmlformats.org/spreadsheetml/2006/main" count="37" uniqueCount="27">
  <si>
    <t>INFRA FM TIMING</t>
  </si>
  <si>
    <t>sentinel data</t>
  </si>
  <si>
    <t>starting file size (KB)</t>
  </si>
  <si>
    <t>pre-filter time (s)</t>
  </si>
  <si>
    <t>pre-filter ending file size (MB) [the "power_only" dataset]</t>
  </si>
  <si>
    <t>compression to "non_solar_gen" time (s)</t>
  </si>
  <si>
    <t>non_solar_gen file size (MB)</t>
  </si>
  <si>
    <t>scanning time of non_solar_gen file (s)</t>
  </si>
  <si>
    <t>GEE Percent of accepted tiles (%)</t>
  </si>
  <si>
    <t>QC Percent of accepted tiles (%)</t>
  </si>
  <si>
    <t>triage percent of accepted tiles (%)</t>
  </si>
  <si>
    <t xml:space="preserve">assets extracted </t>
  </si>
  <si>
    <t>assets after dedup</t>
  </si>
  <si>
    <t>total tiles fetched</t>
  </si>
  <si>
    <t>dataset tiles</t>
  </si>
  <si>
    <t>total time elapsed (s)</t>
  </si>
  <si>
    <t>north america</t>
  </si>
  <si>
    <t>unknown</t>
  </si>
  <si>
    <t>europe</t>
  </si>
  <si>
    <t/>
  </si>
  <si>
    <t>central america</t>
  </si>
  <si>
    <t>check with dry run</t>
  </si>
  <si>
    <t>asia</t>
  </si>
  <si>
    <t>australia/oceania</t>
  </si>
  <si>
    <t>africa</t>
  </si>
  <si>
    <t>south america</t>
  </si>
  <si>
    <t>asia-260408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</si>
</sst>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xfId="0" numFmtId="0" borderId="0" fontId="0" fillId="0"/>
    <xf xfId="0" numFmtId="0" borderId="1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left"/>
    </xf>
    <xf xfId="0" numFmtId="4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3" applyNumberFormat="1" borderId="1" applyBorder="1" fontId="1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4" applyNumberFormat="1" borderId="1" applyBorder="1" fontId="2" applyFont="1" fillId="0" applyAlignment="1">
      <alignment horizontal="right"/>
    </xf>
    <xf xfId="0" numFmtId="4" applyNumberFormat="1" borderId="1" applyBorder="1" fontId="2" applyFont="1" fillId="0" applyAlignment="1">
      <alignment horizontal="left"/>
    </xf>
    <xf xfId="0" numFmtId="4" applyNumberFormat="1" borderId="1" applyBorder="1" fontId="2" applyFont="1" fillId="0" quotePrefix="1" applyAlignment="1">
      <alignment horizontal="right"/>
    </xf>
    <xf xfId="0" numFmtId="4" applyNumberFormat="1" borderId="1" applyBorder="1" fontId="1" applyFont="1" fillId="0" applyAlignment="1">
      <alignment horizontal="right"/>
    </xf>
    <xf xfId="0" numFmtId="3" applyNumberFormat="1" borderId="1" applyBorder="1" fontId="1" applyFont="1" fillId="0" applyAlignment="1">
      <alignment horizontal="righ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10"/>
  <sheetViews>
    <sheetView workbookViewId="0" tabSelected="1"/>
  </sheetViews>
  <sheetFormatPr defaultRowHeight="15" x14ac:dyDescent="0.25"/>
  <cols>
    <col min="1" max="1" style="14" width="15.576428571428572" customWidth="1" bestFit="1"/>
    <col min="2" max="2" style="15" width="19.290714285714284" customWidth="1" bestFit="1"/>
    <col min="3" max="3" style="15" width="14.290714285714287" customWidth="1" bestFit="1"/>
    <col min="4" max="4" style="15" width="50.29071428571429" customWidth="1" bestFit="1"/>
    <col min="5" max="5" style="14" width="35.43357142857143" customWidth="1" bestFit="1"/>
    <col min="6" max="6" style="16" width="25.14785714285714" customWidth="1" bestFit="1"/>
    <col min="7" max="7" style="16" width="34.29071428571429" customWidth="1" bestFit="1"/>
    <col min="8" max="8" style="16" width="27.433571428571426" customWidth="1" bestFit="1"/>
    <col min="9" max="9" style="16" width="29.433571428571426" customWidth="1" bestFit="1"/>
    <col min="10" max="10" style="17" width="30.862142857142857" customWidth="1" bestFit="1"/>
    <col min="11" max="11" style="17" width="15.005" customWidth="1" bestFit="1"/>
    <col min="12" max="12" style="17" width="16.862142857142857" customWidth="1" bestFit="1"/>
    <col min="13" max="13" style="17" width="15.862142857142858" customWidth="1" bestFit="1"/>
    <col min="14" max="14" style="17" width="11.43357142857143" customWidth="1" bestFit="1"/>
    <col min="15" max="15" style="16" width="19.433571428571426" customWidth="1" bestFit="1"/>
  </cols>
  <sheetData>
    <row x14ac:dyDescent="0.25" r="1" customHeight="1" ht="18.75">
      <c r="A1" s="1" t="s">
        <v>0</v>
      </c>
      <c r="B1" s="2"/>
      <c r="C1" s="3"/>
      <c r="D1" s="3"/>
      <c r="E1" s="4"/>
      <c r="F1" s="5"/>
      <c r="G1" s="5"/>
      <c r="H1" s="5"/>
      <c r="I1" s="5"/>
      <c r="J1" s="6"/>
      <c r="K1" s="6"/>
      <c r="L1" s="6"/>
      <c r="M1" s="6"/>
      <c r="N1" s="6"/>
      <c r="O1" s="5"/>
    </row>
    <row x14ac:dyDescent="0.25" r="2" customHeight="1" ht="18.75">
      <c r="A2" s="1" t="s">
        <v>1</v>
      </c>
      <c r="B2" s="2" t="s">
        <v>2</v>
      </c>
      <c r="C2" s="2" t="s">
        <v>3</v>
      </c>
      <c r="D2" s="2" t="s">
        <v>4</v>
      </c>
      <c r="E2" s="1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7" t="s">
        <v>10</v>
      </c>
      <c r="K2" s="7" t="s">
        <v>11</v>
      </c>
      <c r="L2" s="7" t="s">
        <v>12</v>
      </c>
      <c r="M2" s="7" t="s">
        <v>13</v>
      </c>
      <c r="N2" s="7" t="s">
        <v>14</v>
      </c>
      <c r="O2" s="2" t="s">
        <v>15</v>
      </c>
    </row>
    <row x14ac:dyDescent="0.25" r="3" customHeight="1" ht="18.75">
      <c r="A3" s="4" t="s">
        <v>16</v>
      </c>
      <c r="B3" s="8">
        <v>18437659</v>
      </c>
      <c r="C3" s="9">
        <v>12682.8</v>
      </c>
      <c r="D3" s="9">
        <v>12121.9</v>
      </c>
      <c r="E3" s="9" t="s">
        <v>17</v>
      </c>
      <c r="F3" s="9"/>
      <c r="G3" s="5"/>
      <c r="H3" s="5"/>
      <c r="I3" s="5"/>
      <c r="J3" s="6"/>
      <c r="K3" s="6"/>
      <c r="L3" s="6"/>
      <c r="M3" s="6"/>
      <c r="N3" s="6"/>
      <c r="O3" s="5"/>
    </row>
    <row x14ac:dyDescent="0.25" r="4" customHeight="1" ht="18.75">
      <c r="A4" s="4" t="s">
        <v>18</v>
      </c>
      <c r="B4" s="8">
        <v>33349492</v>
      </c>
      <c r="C4" s="10" t="s">
        <v>17</v>
      </c>
      <c r="D4" s="9">
        <v>20771.61</v>
      </c>
      <c r="E4" s="11" t="s">
        <v>19</v>
      </c>
      <c r="F4" s="9"/>
      <c r="G4" s="5"/>
      <c r="H4" s="5"/>
      <c r="I4" s="5"/>
      <c r="J4" s="6"/>
      <c r="K4" s="6"/>
      <c r="L4" s="6"/>
      <c r="M4" s="6"/>
      <c r="N4" s="6"/>
      <c r="O4" s="5"/>
    </row>
    <row x14ac:dyDescent="0.25" r="5" customHeight="1" ht="18.75">
      <c r="A5" s="4" t="s">
        <v>20</v>
      </c>
      <c r="B5" s="8">
        <v>751228</v>
      </c>
      <c r="C5" s="9">
        <v>459.5</v>
      </c>
      <c r="D5" s="9">
        <v>500.5</v>
      </c>
      <c r="E5" s="9" t="s">
        <v>17</v>
      </c>
      <c r="F5" s="9"/>
      <c r="G5" s="12" t="s">
        <v>21</v>
      </c>
      <c r="H5" s="2">
        <f>(6886/6889)*100</f>
      </c>
      <c r="I5" s="2">
        <f>(5864/(5864+1025)) * 100</f>
      </c>
      <c r="J5" s="7">
        <f>(5864/5864)*100</f>
      </c>
      <c r="K5" s="13">
        <v>44041</v>
      </c>
      <c r="L5" s="13">
        <v>6889</v>
      </c>
      <c r="M5" s="13">
        <v>6886</v>
      </c>
      <c r="N5" s="13">
        <v>5864</v>
      </c>
      <c r="O5" s="12">
        <v>3329.2</v>
      </c>
    </row>
    <row x14ac:dyDescent="0.25" r="6" customHeight="1" ht="18.75">
      <c r="A6" s="4" t="s">
        <v>22</v>
      </c>
      <c r="B6" s="8">
        <v>15380515</v>
      </c>
      <c r="C6" s="9" t="s">
        <v>17</v>
      </c>
      <c r="D6" s="9"/>
      <c r="E6" s="9" t="s">
        <v>17</v>
      </c>
      <c r="F6" s="9"/>
      <c r="G6" s="5"/>
      <c r="H6" s="5"/>
      <c r="I6" s="5"/>
      <c r="J6" s="6"/>
      <c r="K6" s="6"/>
      <c r="L6" s="6"/>
      <c r="M6" s="6"/>
      <c r="N6" s="6"/>
      <c r="O6" s="5"/>
    </row>
    <row x14ac:dyDescent="0.25" r="7" customHeight="1" ht="18.75">
      <c r="A7" s="4" t="s">
        <v>23</v>
      </c>
      <c r="B7" s="8">
        <v>1480999</v>
      </c>
      <c r="C7" s="9">
        <v>779.9</v>
      </c>
      <c r="D7" s="9">
        <v>1019.3</v>
      </c>
      <c r="E7" s="9" t="s">
        <v>17</v>
      </c>
      <c r="F7" s="9"/>
      <c r="G7" s="12" t="s">
        <v>21</v>
      </c>
      <c r="H7" s="2">
        <f>(28673/(28673+1))*100</f>
      </c>
      <c r="I7" s="2">
        <f>(22985/(22985+5689))*100</f>
      </c>
      <c r="J7" s="7">
        <f>(22985/22985)*100</f>
      </c>
      <c r="K7" s="13">
        <v>684430</v>
      </c>
      <c r="L7" s="13">
        <v>28674</v>
      </c>
      <c r="M7" s="13">
        <v>28673</v>
      </c>
      <c r="N7" s="13">
        <v>22985</v>
      </c>
      <c r="O7" s="12">
        <v>12607.1</v>
      </c>
    </row>
    <row x14ac:dyDescent="0.25" r="8" customHeight="1" ht="18.75">
      <c r="A8" s="4" t="s">
        <v>24</v>
      </c>
      <c r="B8" s="8">
        <v>7511059</v>
      </c>
      <c r="C8" s="9">
        <v>5434</v>
      </c>
      <c r="D8" s="9">
        <v>5302.5</v>
      </c>
      <c r="E8" s="9" t="s">
        <v>17</v>
      </c>
      <c r="F8" s="9">
        <v>1.2</v>
      </c>
      <c r="G8" s="9">
        <v>0.12</v>
      </c>
      <c r="H8" s="9">
        <v>99.9</v>
      </c>
      <c r="I8" s="9">
        <v>94.19</v>
      </c>
      <c r="J8" s="8">
        <v>100</v>
      </c>
      <c r="K8" s="8">
        <v>22481</v>
      </c>
      <c r="L8" s="8">
        <v>18754</v>
      </c>
      <c r="M8" s="8">
        <v>19198</v>
      </c>
      <c r="N8" s="8">
        <v>18100</v>
      </c>
      <c r="O8" s="9">
        <v>8751.1</v>
      </c>
    </row>
    <row x14ac:dyDescent="0.25" r="9" customHeight="1" ht="18.75">
      <c r="A9" s="4" t="s">
        <v>25</v>
      </c>
      <c r="B9" s="8">
        <v>3832092</v>
      </c>
      <c r="C9" s="10" t="s">
        <v>17</v>
      </c>
      <c r="D9" s="9">
        <v>2723.45</v>
      </c>
      <c r="E9" s="9" t="s">
        <v>17</v>
      </c>
      <c r="F9" s="9"/>
      <c r="G9" s="5"/>
      <c r="H9" s="5"/>
      <c r="I9" s="5"/>
      <c r="J9" s="6"/>
      <c r="K9" s="6"/>
      <c r="L9" s="6"/>
      <c r="M9" s="6"/>
      <c r="N9" s="6"/>
      <c r="O9" s="5"/>
    </row>
    <row x14ac:dyDescent="0.25" r="10" customHeight="1" ht="18.75">
      <c r="A10" s="4" t="s">
        <v>26</v>
      </c>
      <c r="B10" s="9">
        <v>15380514.58</v>
      </c>
      <c r="C10" s="9">
        <v>8795.99</v>
      </c>
      <c r="D10" s="9">
        <v>10370.95</v>
      </c>
      <c r="E10" s="9" t="s">
        <v>17</v>
      </c>
      <c r="F10" s="5"/>
      <c r="G10" s="5"/>
      <c r="H10" s="5"/>
      <c r="I10" s="5"/>
      <c r="J10" s="6"/>
      <c r="K10" s="6"/>
      <c r="L10" s="6"/>
      <c r="M10" s="6"/>
      <c r="N10" s="6"/>
      <c r="O10" s="5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2026-04-16T18:58:06.578Z</dcterms:created>
  <dcterms:modified xsi:type="dcterms:W3CDTF">2026-04-16T18:58:06.578Z</dcterms:modified>
</cp:coreProperties>
</file>