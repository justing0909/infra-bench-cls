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ptos Narrow"/>
      <family val="2"/>
      <color rgb="FF000000"/>
      <sz val="11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1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4" fontId="2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3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O12"/>
  <sheetViews>
    <sheetView tabSelected="1" workbookViewId="0">
      <selection activeCell="A1" sqref="A1"/>
    </sheetView>
  </sheetViews>
  <sheetFormatPr baseColWidth="8" defaultRowHeight="15"/>
  <cols>
    <col width="15.57642857142857" bestFit="1" customWidth="1" style="13" min="1" max="1"/>
    <col width="19.29071428571428" bestFit="1" customWidth="1" style="14" min="2" max="2"/>
    <col width="14.29071428571429" bestFit="1" customWidth="1" style="14" min="3" max="3"/>
    <col width="50.29071428571429" bestFit="1" customWidth="1" style="14" min="4" max="4"/>
    <col width="35.43357142857143" bestFit="1" customWidth="1" style="13" min="5" max="5"/>
    <col width="25.14785714285714" bestFit="1" customWidth="1" style="15" min="6" max="6"/>
    <col width="34.29071428571429" bestFit="1" customWidth="1" style="15" min="7" max="7"/>
    <col width="27.43357142857143" bestFit="1" customWidth="1" style="15" min="8" max="8"/>
    <col width="29.43357142857143" bestFit="1" customWidth="1" style="15" min="9" max="9"/>
    <col width="30.86214285714286" bestFit="1" customWidth="1" style="16" min="10" max="10"/>
    <col width="15.005" bestFit="1" customWidth="1" style="16" min="11" max="11"/>
    <col width="16.86214285714286" bestFit="1" customWidth="1" style="16" min="12" max="12"/>
    <col width="15.86214285714286" bestFit="1" customWidth="1" style="16" min="13" max="13"/>
    <col width="11.43357142857143" bestFit="1" customWidth="1" style="16" min="14" max="14"/>
    <col width="19.43357142857143" bestFit="1" customWidth="1" style="15" min="15" max="15"/>
  </cols>
  <sheetData>
    <row r="1" ht="18.75" customHeight="1">
      <c r="A1" s="1" t="inlineStr">
        <is>
          <t>INFRA FM TIMING</t>
        </is>
      </c>
      <c r="B1" s="2" t="n"/>
      <c r="C1" s="14" t="n"/>
      <c r="D1" s="14" t="n"/>
      <c r="E1" s="13" t="n"/>
      <c r="F1" s="15" t="n"/>
      <c r="G1" s="15" t="n"/>
      <c r="H1" s="15" t="n"/>
      <c r="I1" s="15" t="n"/>
      <c r="J1" s="16" t="n"/>
      <c r="K1" s="16" t="n"/>
      <c r="L1" s="16" t="n"/>
      <c r="M1" s="16" t="n"/>
      <c r="N1" s="16" t="n"/>
      <c r="O1" s="15" t="n"/>
    </row>
    <row r="2" ht="18.75" customHeight="1">
      <c r="A2" s="1" t="inlineStr">
        <is>
          <t>sentinel data</t>
        </is>
      </c>
      <c r="B2" s="2" t="inlineStr">
        <is>
          <t>starting file size (KB)</t>
        </is>
      </c>
      <c r="C2" s="2" t="inlineStr">
        <is>
          <t>pre-filter time (s)</t>
        </is>
      </c>
      <c r="D2" s="2" t="inlineStr">
        <is>
          <t>pre-filter ending file size (MB) [the "power_only" dataset]</t>
        </is>
      </c>
      <c r="E2" s="1" t="inlineStr">
        <is>
          <t>compression to "non_solar_gen" time (s)</t>
        </is>
      </c>
      <c r="F2" s="2" t="inlineStr">
        <is>
          <t>non_solar_gen file size (MB)</t>
        </is>
      </c>
      <c r="G2" s="2" t="inlineStr">
        <is>
          <t>scanning time of non_solar_gen file (s)</t>
        </is>
      </c>
      <c r="H2" s="2" t="inlineStr">
        <is>
          <t>GEE Percent of accepted tiles (%)</t>
        </is>
      </c>
      <c r="I2" s="2" t="inlineStr">
        <is>
          <t>QC Percent of accepted tiles (%)</t>
        </is>
      </c>
      <c r="J2" s="7" t="inlineStr">
        <is>
          <t>triage percent of accepted tiles (%)</t>
        </is>
      </c>
      <c r="K2" s="7" t="inlineStr">
        <is>
          <t xml:space="preserve">assets extracted </t>
        </is>
      </c>
      <c r="L2" s="7" t="inlineStr">
        <is>
          <t>assets after dedup</t>
        </is>
      </c>
      <c r="M2" s="7" t="inlineStr">
        <is>
          <t>total tiles fetched</t>
        </is>
      </c>
      <c r="N2" s="7" t="inlineStr">
        <is>
          <t>dataset tiles</t>
        </is>
      </c>
      <c r="O2" s="2" t="inlineStr">
        <is>
          <t>total time elapsed (s)</t>
        </is>
      </c>
    </row>
    <row r="3" ht="18.75" customHeight="1">
      <c r="A3" s="13" t="inlineStr">
        <is>
          <t>north america</t>
        </is>
      </c>
      <c r="B3" s="8" t="n">
        <v>18437659</v>
      </c>
      <c r="C3" s="9" t="n">
        <v>12682.8</v>
      </c>
      <c r="D3" s="9" t="n">
        <v>12121.9</v>
      </c>
      <c r="E3" s="9" t="inlineStr">
        <is>
          <t>unknown</t>
        </is>
      </c>
      <c r="F3" s="9" t="n"/>
      <c r="G3" s="15" t="n"/>
      <c r="H3" s="15" t="n"/>
      <c r="I3" s="15" t="n"/>
      <c r="J3" s="16" t="n"/>
      <c r="K3" s="16" t="n"/>
      <c r="L3" s="16" t="n"/>
      <c r="M3" s="16" t="n"/>
      <c r="N3" s="16" t="n"/>
      <c r="O3" s="15" t="n"/>
    </row>
    <row r="4" ht="18.75" customHeight="1">
      <c r="A4" s="13" t="inlineStr">
        <is>
          <t>europe</t>
        </is>
      </c>
      <c r="B4" s="8" t="n">
        <v>33349492</v>
      </c>
      <c r="C4" s="10" t="inlineStr">
        <is>
          <t>unknown</t>
        </is>
      </c>
      <c r="D4" s="9" t="n">
        <v>20771.61</v>
      </c>
      <c r="E4" s="9" t="inlineStr">
        <is>
          <t>unknown</t>
        </is>
      </c>
      <c r="F4" s="9" t="n"/>
      <c r="G4" s="15" t="n"/>
      <c r="H4" s="15" t="n"/>
      <c r="I4" s="15" t="n"/>
      <c r="J4" s="16" t="n"/>
      <c r="K4" s="16" t="n"/>
      <c r="L4" s="16" t="n"/>
      <c r="M4" s="16" t="n"/>
      <c r="N4" s="16" t="n"/>
      <c r="O4" s="15" t="n"/>
    </row>
    <row r="5" ht="18.75" customHeight="1">
      <c r="A5" s="13" t="inlineStr">
        <is>
          <t>central america</t>
        </is>
      </c>
      <c r="B5" s="8" t="n">
        <v>751228</v>
      </c>
      <c r="C5" s="9" t="n">
        <v>459.5</v>
      </c>
      <c r="D5" s="9" t="n">
        <v>500.5</v>
      </c>
      <c r="E5" s="9" t="inlineStr">
        <is>
          <t>unknown</t>
        </is>
      </c>
      <c r="F5" s="9" t="n"/>
      <c r="G5" s="11" t="inlineStr">
        <is>
          <t>check with dry run</t>
        </is>
      </c>
      <c r="H5" s="2">
        <f>(6886/6889)*100</f>
        <v/>
      </c>
      <c r="I5" s="2">
        <f>(5864/(5864+1025)) * 100</f>
        <v/>
      </c>
      <c r="J5" s="7">
        <f>(5864/5864)*100</f>
        <v/>
      </c>
      <c r="K5" s="12" t="n">
        <v>44041</v>
      </c>
      <c r="L5" s="12" t="n">
        <v>6889</v>
      </c>
      <c r="M5" s="12" t="n">
        <v>6886</v>
      </c>
      <c r="N5" s="12" t="n">
        <v>5864</v>
      </c>
      <c r="O5" s="11" t="n">
        <v>3329.2</v>
      </c>
    </row>
    <row r="6" ht="18.75" customHeight="1">
      <c r="A6" s="13" t="inlineStr">
        <is>
          <t>asia</t>
        </is>
      </c>
      <c r="B6" s="8" t="n">
        <v>15380515</v>
      </c>
      <c r="C6" s="9" t="inlineStr">
        <is>
          <t>unknown</t>
        </is>
      </c>
      <c r="D6" s="9" t="n"/>
      <c r="E6" s="9" t="inlineStr">
        <is>
          <t>unknown</t>
        </is>
      </c>
      <c r="F6" s="9" t="n"/>
      <c r="G6" s="15" t="n"/>
      <c r="H6" s="15" t="n"/>
      <c r="I6" s="15" t="n"/>
      <c r="J6" s="16" t="n"/>
      <c r="K6" s="16" t="n"/>
      <c r="L6" s="16" t="n"/>
      <c r="M6" s="16" t="n"/>
      <c r="N6" s="16" t="n"/>
      <c r="O6" s="15" t="n"/>
    </row>
    <row r="7" ht="18.75" customHeight="1">
      <c r="A7" s="13" t="inlineStr">
        <is>
          <t>australia/oceania</t>
        </is>
      </c>
      <c r="B7" s="8" t="n">
        <v>1480999</v>
      </c>
      <c r="C7" s="9" t="n">
        <v>779.9</v>
      </c>
      <c r="D7" s="9" t="n">
        <v>1019.3</v>
      </c>
      <c r="E7" s="9" t="inlineStr">
        <is>
          <t>unknown</t>
        </is>
      </c>
      <c r="F7" s="9" t="n"/>
      <c r="G7" s="11" t="inlineStr">
        <is>
          <t>check with dry run</t>
        </is>
      </c>
      <c r="H7" s="2">
        <f>(28673/(28673+1))*100</f>
        <v/>
      </c>
      <c r="I7" s="2">
        <f>(22985/(22985+5689))*100</f>
        <v/>
      </c>
      <c r="J7" s="7">
        <f>(22985/22985)*100</f>
        <v/>
      </c>
      <c r="K7" s="12" t="n">
        <v>684430</v>
      </c>
      <c r="L7" s="12" t="n">
        <v>28674</v>
      </c>
      <c r="M7" s="12" t="n">
        <v>28673</v>
      </c>
      <c r="N7" s="12" t="n">
        <v>22985</v>
      </c>
      <c r="O7" s="11" t="n">
        <v>12607.1</v>
      </c>
    </row>
    <row r="8" ht="18.75" customHeight="1">
      <c r="A8" s="13" t="inlineStr">
        <is>
          <t>africa</t>
        </is>
      </c>
      <c r="B8" s="8" t="n">
        <v>7511059</v>
      </c>
      <c r="C8" s="9" t="n">
        <v>5434</v>
      </c>
      <c r="D8" s="9" t="n">
        <v>5302.5</v>
      </c>
      <c r="E8" s="9" t="inlineStr">
        <is>
          <t>unknown</t>
        </is>
      </c>
      <c r="F8" s="9" t="n">
        <v>1.2</v>
      </c>
      <c r="G8" s="9" t="n">
        <v>0.12</v>
      </c>
      <c r="H8" s="9" t="n">
        <v>99.90000000000001</v>
      </c>
      <c r="I8" s="9" t="n">
        <v>94.19</v>
      </c>
      <c r="J8" s="8" t="n">
        <v>100</v>
      </c>
      <c r="K8" s="8" t="n">
        <v>22481</v>
      </c>
      <c r="L8" s="8" t="n">
        <v>18754</v>
      </c>
      <c r="M8" s="8" t="n">
        <v>19198</v>
      </c>
      <c r="N8" s="8" t="n">
        <v>18100</v>
      </c>
      <c r="O8" s="9" t="n">
        <v>8751.1</v>
      </c>
    </row>
    <row r="9" ht="18.75" customHeight="1">
      <c r="A9" s="13" t="inlineStr">
        <is>
          <t>south america</t>
        </is>
      </c>
      <c r="B9" s="8" t="n">
        <v>3832092</v>
      </c>
      <c r="C9" s="10" t="inlineStr">
        <is>
          <t>unknown</t>
        </is>
      </c>
      <c r="D9" s="9" t="n">
        <v>2723.45</v>
      </c>
      <c r="E9" s="9" t="inlineStr">
        <is>
          <t>unknown</t>
        </is>
      </c>
      <c r="F9" s="9" t="n"/>
      <c r="G9" s="15" t="n"/>
      <c r="H9" s="15" t="n"/>
      <c r="I9" s="15" t="n"/>
      <c r="J9" s="16" t="n"/>
      <c r="K9" s="16" t="n"/>
      <c r="L9" s="16" t="n"/>
      <c r="M9" s="16" t="n"/>
      <c r="N9" s="16" t="n"/>
      <c r="O9" s="15" t="n"/>
    </row>
    <row r="10" ht="18.75" customHeight="1">
      <c r="A10" s="13" t="inlineStr">
        <is>
          <t>asia-260408</t>
        </is>
      </c>
      <c r="B10" s="9" t="n">
        <v>15380514.58</v>
      </c>
      <c r="C10" s="9" t="n">
        <v>8795.99</v>
      </c>
      <c r="D10" s="9" t="n">
        <v>10370.95</v>
      </c>
      <c r="E10" s="9" t="inlineStr">
        <is>
          <t>unknown</t>
        </is>
      </c>
      <c r="F10" s="15" t="n"/>
      <c r="G10" s="15" t="n"/>
      <c r="H10" s="15" t="n"/>
      <c r="I10" s="15" t="n"/>
      <c r="J10" s="16" t="n"/>
      <c r="K10" s="16" t="n"/>
      <c r="L10" s="16" t="n"/>
      <c r="M10" s="16" t="n"/>
      <c r="N10" s="16" t="n"/>
      <c r="O10" s="15" t="n"/>
    </row>
    <row r="11">
      <c r="A11" t="inlineStr">
        <is>
          <t>australia-oceania</t>
        </is>
      </c>
      <c r="F11" t="n">
        <v>1.37</v>
      </c>
      <c r="G11" t="n">
        <v>0.25</v>
      </c>
      <c r="H11" t="n">
        <v>99.94</v>
      </c>
      <c r="I11" t="n">
        <v>73.15000000000001</v>
      </c>
      <c r="J11" t="n">
        <v>100</v>
      </c>
      <c r="K11" t="n">
        <v>14504</v>
      </c>
      <c r="L11" t="n">
        <v>13111</v>
      </c>
      <c r="M11" t="n">
        <v>13103</v>
      </c>
      <c r="N11" t="n">
        <v>9591</v>
      </c>
      <c r="O11" t="n">
        <v>4822.4</v>
      </c>
    </row>
    <row r="12">
      <c r="A12" t="inlineStr">
        <is>
          <t>south-america</t>
        </is>
      </c>
      <c r="F12" t="n">
        <v>2.56</v>
      </c>
      <c r="G12" t="n">
        <v>0.19</v>
      </c>
      <c r="H12" t="n">
        <v>99.84999999999999</v>
      </c>
      <c r="I12" t="n">
        <v>84.61</v>
      </c>
      <c r="J12" t="n">
        <v>100</v>
      </c>
      <c r="K12" t="n">
        <v>41008</v>
      </c>
      <c r="L12" t="n">
        <v>35112</v>
      </c>
      <c r="M12" t="n">
        <v>35059</v>
      </c>
      <c r="N12" t="n">
        <v>29707</v>
      </c>
      <c r="O12" t="n">
        <v>14739.2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2026-04-15T17:03:52Z</dcterms:created>
  <dcterms:modified xsi:type="dcterms:W3CDTF">2026-04-15T23:02:37Z</dcterms:modified>
</cp:coreProperties>
</file>