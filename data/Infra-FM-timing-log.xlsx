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20" yWindow="2620" windowWidth="14400" windowHeight="817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i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1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tabSelected="1" zoomScale="92" workbookViewId="0">
      <selection activeCell="E6" sqref="E6"/>
    </sheetView>
  </sheetViews>
  <sheetFormatPr baseColWidth="8" defaultRowHeight="14.5"/>
  <cols>
    <col width="15.54296875" customWidth="1" min="1" max="1"/>
    <col width="19.26953125" customWidth="1" min="2" max="2"/>
    <col width="14.26953125" customWidth="1" min="3" max="3"/>
    <col width="50.26953125" customWidth="1" min="4" max="4"/>
    <col width="35.36328125" customWidth="1" min="5" max="5"/>
    <col width="28.36328125" customWidth="1" min="6" max="6"/>
    <col width="31.81640625" customWidth="1" min="7" max="7"/>
    <col width="27.36328125" customWidth="1" min="8" max="8"/>
    <col width="29.36328125" customWidth="1" min="9" max="9"/>
    <col width="30.81640625" customWidth="1" min="10" max="10"/>
    <col width="15" customWidth="1" min="11" max="11"/>
    <col width="16.90625" customWidth="1" min="12" max="12"/>
    <col width="15.81640625" customWidth="1" min="13" max="13"/>
    <col width="11.453125" customWidth="1" min="14" max="14"/>
    <col width="19.453125" customWidth="1" min="15" max="15"/>
  </cols>
  <sheetData>
    <row r="1">
      <c r="A1" s="1" t="inlineStr">
        <is>
          <t>INFRA FM TIMING</t>
        </is>
      </c>
      <c r="B1" s="1" t="n"/>
    </row>
    <row r="2">
      <c r="A2" s="2" t="inlineStr">
        <is>
          <t>sentinel data</t>
        </is>
      </c>
      <c r="B2" s="1" t="inlineStr">
        <is>
          <t>starting file size (KB)</t>
        </is>
      </c>
      <c r="C2" s="1" t="inlineStr">
        <is>
          <t>pre-filter time (s)</t>
        </is>
      </c>
      <c r="D2" s="1" t="inlineStr">
        <is>
          <t>pre-filter ending file size (MB) [the "power_only" dataset]</t>
        </is>
      </c>
      <c r="E2" s="1" t="inlineStr">
        <is>
          <t>compression to "non_solar_gen" time (s)</t>
        </is>
      </c>
      <c r="F2" s="1" t="inlineStr">
        <is>
          <t>non_solar_gen parquet size (KB)</t>
        </is>
      </c>
      <c r="G2" s="1" t="inlineStr">
        <is>
          <t>scanning time of non_solar_gen file (s)</t>
        </is>
      </c>
      <c r="H2" s="1" t="inlineStr">
        <is>
          <t>GEE Percent of accepted tiles (%)</t>
        </is>
      </c>
      <c r="I2" s="1" t="inlineStr">
        <is>
          <t>QC Percent of accepted tiles (%)</t>
        </is>
      </c>
      <c r="J2" s="1" t="inlineStr">
        <is>
          <t>triage percent of accepted tiles (%)</t>
        </is>
      </c>
      <c r="K2" s="1" t="inlineStr">
        <is>
          <t xml:space="preserve">assets extracted </t>
        </is>
      </c>
      <c r="L2" s="1" t="inlineStr">
        <is>
          <t>assets after dedup</t>
        </is>
      </c>
      <c r="M2" s="1" t="inlineStr">
        <is>
          <t>total tiles fetched</t>
        </is>
      </c>
      <c r="N2" s="1" t="inlineStr">
        <is>
          <t>dataset tiles</t>
        </is>
      </c>
      <c r="O2" s="1" t="inlineStr">
        <is>
          <t>total time elapsed (s)</t>
        </is>
      </c>
    </row>
    <row r="3">
      <c r="A3" s="5" t="inlineStr">
        <is>
          <t>north america</t>
        </is>
      </c>
      <c r="B3" s="5" t="n">
        <v>18437659</v>
      </c>
      <c r="C3" s="4" t="n">
        <v>12682.8</v>
      </c>
      <c r="D3" s="4" t="n">
        <v>12121.9</v>
      </c>
      <c r="E3" s="4" t="n"/>
      <c r="F3" s="4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5" t="inlineStr">
        <is>
          <t>europe</t>
        </is>
      </c>
      <c r="B4" s="5" t="n">
        <v>33349492</v>
      </c>
      <c r="C4" s="6" t="inlineStr">
        <is>
          <t>--</t>
        </is>
      </c>
      <c r="D4" s="4" t="n">
        <v>20771.61</v>
      </c>
      <c r="E4" s="4" t="n"/>
      <c r="F4" s="4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5" t="inlineStr">
        <is>
          <t>central america</t>
        </is>
      </c>
      <c r="B5" s="5" t="n">
        <v>751228</v>
      </c>
      <c r="C5" s="4" t="n">
        <v>459.5</v>
      </c>
      <c r="D5" s="4" t="n">
        <v>500.5</v>
      </c>
      <c r="E5" s="6" t="inlineStr">
        <is>
          <t>--</t>
        </is>
      </c>
      <c r="F5" s="4" t="n">
        <v>262</v>
      </c>
      <c r="G5" s="5" t="n">
        <v>714.7</v>
      </c>
      <c r="H5" s="5">
        <f>(3701/(3701+2))*100</f>
        <v/>
      </c>
      <c r="I5" s="5">
        <f>(2883/(2883+820))*100</f>
        <v/>
      </c>
      <c r="J5" s="5" t="n">
        <v>100</v>
      </c>
      <c r="K5" s="5" t="n">
        <v>4621</v>
      </c>
      <c r="L5" s="5" t="n">
        <v>3703</v>
      </c>
      <c r="M5" s="5" t="n">
        <v>3701</v>
      </c>
      <c r="N5" s="5" t="n">
        <v>2883</v>
      </c>
      <c r="O5" s="5" t="n">
        <v>1232.1</v>
      </c>
    </row>
    <row r="6">
      <c r="A6" s="5" t="inlineStr">
        <is>
          <t>asia</t>
        </is>
      </c>
      <c r="B6" s="5" t="n">
        <v>15380515</v>
      </c>
      <c r="C6" s="6" t="inlineStr">
        <is>
          <t>--</t>
        </is>
      </c>
      <c r="D6" s="4" t="n">
        <v>10619.86</v>
      </c>
      <c r="E6" s="4" t="n"/>
      <c r="F6" s="4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5" t="inlineStr">
        <is>
          <t>australia/oceania</t>
        </is>
      </c>
      <c r="B7" s="5" t="n">
        <v>1480999</v>
      </c>
      <c r="C7" s="4" t="n">
        <v>779.9</v>
      </c>
      <c r="D7" s="4" t="n">
        <v>1019.3</v>
      </c>
      <c r="E7" s="4" t="n"/>
      <c r="F7" s="4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A8" s="5" t="inlineStr">
        <is>
          <t>africa</t>
        </is>
      </c>
      <c r="B8" s="5" t="n">
        <v>7511059</v>
      </c>
      <c r="C8" s="4" t="n">
        <v>5434</v>
      </c>
      <c r="D8" s="4" t="n">
        <v>5302.5</v>
      </c>
      <c r="E8" s="4" t="n"/>
      <c r="F8" s="4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5" t="inlineStr">
        <is>
          <t>south america</t>
        </is>
      </c>
      <c r="B9" s="5" t="n">
        <v>3832092</v>
      </c>
      <c r="C9" s="6" t="inlineStr">
        <is>
          <t>--</t>
        </is>
      </c>
      <c r="D9" s="4" t="n">
        <v>2723.45</v>
      </c>
      <c r="E9" s="4" t="n"/>
      <c r="F9" s="4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t="inlineStr">
        <is>
          <t>maine-latest.osm_power_only.osm</t>
        </is>
      </c>
      <c r="B10" t="n">
        <v>63807.87</v>
      </c>
      <c r="C10" t="n">
        <v>37.99</v>
      </c>
      <c r="D10" t="n">
        <v>0.48</v>
      </c>
      <c r="G10" t="n">
        <v>0.45</v>
      </c>
      <c r="K10" t="n">
        <v>386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Guthrie, Justin</dc:creator>
  <dcterms:created xsi:type="dcterms:W3CDTF">2026-04-09T20:00:41Z</dcterms:created>
  <dcterms:modified xsi:type="dcterms:W3CDTF">2026-08-25T20:02:22Z</dcterms:modified>
  <cp:lastModifiedBy>Guthrie, Justin</cp:lastModifiedBy>
</cp:coreProperties>
</file>